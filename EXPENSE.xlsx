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y Computer\Desktop\vS codes\Finance_Analyzer\"/>
    </mc:Choice>
  </mc:AlternateContent>
  <xr:revisionPtr revIDLastSave="0" documentId="13_ncr:1_{960C6E8A-FD5C-453F-98BB-1F2FAD8DE634}" xr6:coauthVersionLast="36" xr6:coauthVersionMax="36" xr10:uidLastSave="{00000000-0000-0000-0000-000000000000}"/>
  <bookViews>
    <workbookView xWindow="0" yWindow="0" windowWidth="17250" windowHeight="7260" activeTab="3" xr2:uid="{00000000-000D-0000-FFFF-FFFF00000000}"/>
  </bookViews>
  <sheets>
    <sheet name="Transactions" sheetId="1" r:id="rId1"/>
    <sheet name="Budget" sheetId="9" r:id="rId2"/>
    <sheet name="Budget_vs_Actual" sheetId="3" r:id="rId3"/>
    <sheet name="Dashboard" sheetId="4" r:id="rId4"/>
    <sheet name="pivot " sheetId="7" r:id="rId5"/>
  </sheets>
  <definedNames>
    <definedName name="Slicer_Category">#N/A</definedName>
    <definedName name="Slic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4" l="1"/>
  <c r="B5" i="4"/>
  <c r="B4" i="4"/>
  <c r="B3" i="4"/>
  <c r="B2" i="4"/>
  <c r="D6" i="3"/>
  <c r="D5" i="3"/>
  <c r="D4" i="3"/>
  <c r="F2" i="3" l="1"/>
  <c r="E4" i="3" l="1"/>
  <c r="E6" i="3"/>
  <c r="E5" i="3"/>
  <c r="C6" i="3"/>
  <c r="C5" i="3"/>
  <c r="C4" i="3"/>
  <c r="C3" i="3"/>
  <c r="D3" i="3" s="1"/>
  <c r="E3" i="3" s="1"/>
  <c r="C2" i="3"/>
  <c r="G2" i="3" l="1"/>
  <c r="D2" i="3"/>
  <c r="E2" i="3" s="1"/>
  <c r="H2" i="3" l="1"/>
</calcChain>
</file>

<file path=xl/sharedStrings.xml><?xml version="1.0" encoding="utf-8"?>
<sst xmlns="http://schemas.openxmlformats.org/spreadsheetml/2006/main" count="280" uniqueCount="71">
  <si>
    <t>Date</t>
  </si>
  <si>
    <t>Category</t>
  </si>
  <si>
    <t>Description</t>
  </si>
  <si>
    <t>Amount</t>
  </si>
  <si>
    <t>Type</t>
  </si>
  <si>
    <t>01-Apr</t>
  </si>
  <si>
    <t>Food</t>
  </si>
  <si>
    <t>Breakfast</t>
  </si>
  <si>
    <t>Expense</t>
  </si>
  <si>
    <t>Transport</t>
  </si>
  <si>
    <t>Bus</t>
  </si>
  <si>
    <t>02-Apr</t>
  </si>
  <si>
    <t>Lunch</t>
  </si>
  <si>
    <t>Bills</t>
  </si>
  <si>
    <t>Electricity</t>
  </si>
  <si>
    <t>03-Apr</t>
  </si>
  <si>
    <t>Rickshaw</t>
  </si>
  <si>
    <t>Dinner</t>
  </si>
  <si>
    <t>04-Apr</t>
  </si>
  <si>
    <t>Shopping</t>
  </si>
  <si>
    <t>Clothes</t>
  </si>
  <si>
    <t>Snacks</t>
  </si>
  <si>
    <t>05-Apr</t>
  </si>
  <si>
    <t>06-Apr</t>
  </si>
  <si>
    <t>Internet</t>
  </si>
  <si>
    <t>07-Apr</t>
  </si>
  <si>
    <t>Bike Fuel</t>
  </si>
  <si>
    <t>08-Apr</t>
  </si>
  <si>
    <t>Others</t>
  </si>
  <si>
    <t>Mobile Load</t>
  </si>
  <si>
    <t>09-Apr</t>
  </si>
  <si>
    <t>10-Apr</t>
  </si>
  <si>
    <t>Shoes</t>
  </si>
  <si>
    <t>11-Apr</t>
  </si>
  <si>
    <t>12-Apr</t>
  </si>
  <si>
    <t>Gas</t>
  </si>
  <si>
    <t>13-Apr</t>
  </si>
  <si>
    <t>14-Apr</t>
  </si>
  <si>
    <t>Charity</t>
  </si>
  <si>
    <t>15-Apr</t>
  </si>
  <si>
    <t>16-Apr</t>
  </si>
  <si>
    <t>Accessories</t>
  </si>
  <si>
    <t>17-Apr</t>
  </si>
  <si>
    <t>18-Apr</t>
  </si>
  <si>
    <t>Water</t>
  </si>
  <si>
    <t>19-Apr</t>
  </si>
  <si>
    <t>20-Apr</t>
  </si>
  <si>
    <t>21-Apr</t>
  </si>
  <si>
    <t>22-Apr</t>
  </si>
  <si>
    <t>23-Apr</t>
  </si>
  <si>
    <t>24-Apr</t>
  </si>
  <si>
    <t>25-Apr</t>
  </si>
  <si>
    <t>26-Apr</t>
  </si>
  <si>
    <t>27-Apr</t>
  </si>
  <si>
    <t>28-Apr</t>
  </si>
  <si>
    <t>29-Apr</t>
  </si>
  <si>
    <t>30-Apr</t>
  </si>
  <si>
    <t>Budget</t>
  </si>
  <si>
    <t>Actual</t>
  </si>
  <si>
    <t>Difference</t>
  </si>
  <si>
    <t>Status</t>
  </si>
  <si>
    <t>Total Actual</t>
  </si>
  <si>
    <t>Total Budget</t>
  </si>
  <si>
    <t>Total Difference</t>
  </si>
  <si>
    <t>Row Labels</t>
  </si>
  <si>
    <t>Grand Total</t>
  </si>
  <si>
    <t>Sum of Amount</t>
  </si>
  <si>
    <t>✔ Columns:</t>
  </si>
  <si>
    <r>
      <t xml:space="preserve">👉 Drag </t>
    </r>
    <r>
      <rPr>
        <b/>
        <sz val="11"/>
        <color theme="1"/>
        <rFont val="Calibri"/>
        <family val="2"/>
        <scheme val="minor"/>
      </rPr>
      <t>Type</t>
    </r>
    <r>
      <rPr>
        <sz val="11"/>
        <color theme="1"/>
        <rFont val="Calibri"/>
        <family val="2"/>
        <scheme val="minor"/>
      </rPr>
      <t xml:space="preserve"> (Budget vs Expense)</t>
    </r>
  </si>
  <si>
    <t>Column1</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</si>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</sst>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BUDGET vs ACTUAL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376474214032231E-2"/>
          <c:y val="0.14632326946113905"/>
          <c:w val="0.95737175672912911"/>
          <c:h val="0.75152373547565499"/>
        </c:manualLayout>
      </c:layout>
      <c:bar3DChart>
        <c:barDir val="col"/>
        <c:grouping val="clustered"/>
        <c:varyColors val="0"/>
        <c:ser>
          <c:idx val="0"/>
          <c:order val="0"/>
          <c:tx>
            <c:strRef>
              <c:f>Dashboard!$C$1</c:f>
              <c:strCache>
                <c:ptCount val="1"/>
                <c:pt idx="0">
                  <c:v>Budget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9.9953865245304106E-3"/>
                  <c:y val="-1.6029684788449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6-47A9-A96C-69CF7839745B}"/>
                </c:ext>
              </c:extLst>
            </c:dLbl>
            <c:dLbl>
              <c:idx val="1"/>
              <c:layout>
                <c:manualLayout>
                  <c:x val="7.2693720178402645E-3"/>
                  <c:y val="-1.6029684788449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6-47A9-A96C-69CF7839745B}"/>
                </c:ext>
              </c:extLst>
            </c:dLbl>
            <c:dLbl>
              <c:idx val="3"/>
              <c:layout>
                <c:manualLayout>
                  <c:x val="9.0867150223003729E-4"/>
                  <c:y val="-1.4693877722745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6-47A9-A96C-69CF7839745B}"/>
                </c:ext>
              </c:extLst>
            </c:dLbl>
            <c:dLbl>
              <c:idx val="4"/>
              <c:layout>
                <c:manualLayout>
                  <c:x val="9.9953865245304106E-3"/>
                  <c:y val="-1.6029684788449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6-47A9-A96C-69CF7839745B}"/>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Dashboard!$A$2:$A$6</c:f>
              <c:strCache>
                <c:ptCount val="5"/>
                <c:pt idx="0">
                  <c:v>Food</c:v>
                </c:pt>
                <c:pt idx="1">
                  <c:v>Transport</c:v>
                </c:pt>
                <c:pt idx="2">
                  <c:v>Bills</c:v>
                </c:pt>
                <c:pt idx="3">
                  <c:v>Shopping</c:v>
                </c:pt>
                <c:pt idx="4">
                  <c:v>Others</c:v>
                </c:pt>
              </c:strCache>
            </c:strRef>
          </c:cat>
          <c:val>
            <c:numRef>
              <c:f>Dashboard!$C$2:$C$6</c:f>
              <c:numCache>
                <c:formatCode>General</c:formatCode>
                <c:ptCount val="5"/>
                <c:pt idx="0">
                  <c:v>14000</c:v>
                </c:pt>
                <c:pt idx="1">
                  <c:v>5000</c:v>
                </c:pt>
                <c:pt idx="2">
                  <c:v>18000</c:v>
                </c:pt>
                <c:pt idx="3">
                  <c:v>6000</c:v>
                </c:pt>
                <c:pt idx="4">
                  <c:v>3000</c:v>
                </c:pt>
              </c:numCache>
            </c:numRef>
          </c:val>
          <c:extLst>
            <c:ext xmlns:c16="http://schemas.microsoft.com/office/drawing/2014/chart" uri="{C3380CC4-5D6E-409C-BE32-E72D297353CC}">
              <c16:uniqueId val="{00000000-B2DB-4D8C-9EB7-2DAE0A171A9C}"/>
            </c:ext>
          </c:extLst>
        </c:ser>
        <c:ser>
          <c:idx val="1"/>
          <c:order val="1"/>
          <c:tx>
            <c:strRef>
              <c:f>Dashboard!$B$1</c:f>
              <c:strCache>
                <c:ptCount val="1"/>
                <c:pt idx="0">
                  <c:v>Actual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2.36254590579809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6-47A9-A96C-69CF7839745B}"/>
                </c:ext>
              </c:extLst>
            </c:dLbl>
            <c:dLbl>
              <c:idx val="1"/>
              <c:layout>
                <c:manualLayout>
                  <c:x val="2.8168816569131155E-2"/>
                  <c:y val="-8.01484239422485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6-47A9-A96C-69CF7839745B}"/>
                </c:ext>
              </c:extLst>
            </c:dLbl>
            <c:dLbl>
              <c:idx val="2"/>
              <c:layout>
                <c:manualLayout>
                  <c:x val="3.0894831075821201E-2"/>
                  <c:y val="-1.2022263591337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6-47A9-A96C-69CF7839745B}"/>
                </c:ext>
              </c:extLst>
            </c:dLbl>
            <c:dLbl>
              <c:idx val="3"/>
              <c:layout>
                <c:manualLayout>
                  <c:x val="2.726014506690112E-2"/>
                  <c:y val="-1.20222635913373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6-47A9-A96C-69CF7839745B}"/>
                </c:ext>
              </c:extLst>
            </c:dLbl>
            <c:dLbl>
              <c:idx val="4"/>
              <c:layout>
                <c:manualLayout>
                  <c:x val="2.3625459057980837E-2"/>
                  <c:y val="-1.0686456525633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6-47A9-A96C-69CF7839745B}"/>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Dashboard!$A$2:$A$6</c:f>
              <c:strCache>
                <c:ptCount val="5"/>
                <c:pt idx="0">
                  <c:v>Food</c:v>
                </c:pt>
                <c:pt idx="1">
                  <c:v>Transport</c:v>
                </c:pt>
                <c:pt idx="2">
                  <c:v>Bills</c:v>
                </c:pt>
                <c:pt idx="3">
                  <c:v>Shopping</c:v>
                </c:pt>
                <c:pt idx="4">
                  <c:v>Others</c:v>
                </c:pt>
              </c:strCache>
            </c:strRef>
          </c:cat>
          <c:val>
            <c:numRef>
              <c:f>Dashboard!$B$2:$B$6</c:f>
              <c:numCache>
                <c:formatCode>General</c:formatCode>
                <c:ptCount val="5"/>
                <c:pt idx="0">
                  <c:v>13700</c:v>
                </c:pt>
                <c:pt idx="1">
                  <c:v>3930</c:v>
                </c:pt>
                <c:pt idx="2">
                  <c:v>12500</c:v>
                </c:pt>
                <c:pt idx="3">
                  <c:v>10000</c:v>
                </c:pt>
                <c:pt idx="4">
                  <c:v>1500</c:v>
                </c:pt>
              </c:numCache>
            </c:numRef>
          </c:val>
          <c:extLst>
            <c:ext xmlns:c16="http://schemas.microsoft.com/office/drawing/2014/chart" uri="{C3380CC4-5D6E-409C-BE32-E72D297353CC}">
              <c16:uniqueId val="{00000001-B2DB-4D8C-9EB7-2DAE0A171A9C}"/>
            </c:ext>
          </c:extLst>
        </c:ser>
        <c:dLbls>
          <c:showLegendKey val="0"/>
          <c:showVal val="1"/>
          <c:showCatName val="0"/>
          <c:showSerName val="0"/>
          <c:showPercent val="0"/>
          <c:showBubbleSize val="0"/>
        </c:dLbls>
        <c:gapWidth val="150"/>
        <c:shape val="box"/>
        <c:axId val="1548618591"/>
        <c:axId val="1543135823"/>
        <c:axId val="0"/>
      </c:bar3DChart>
      <c:catAx>
        <c:axId val="1548618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135823"/>
        <c:crosses val="autoZero"/>
        <c:auto val="1"/>
        <c:lblAlgn val="ctr"/>
        <c:lblOffset val="100"/>
        <c:noMultiLvlLbl val="0"/>
      </c:catAx>
      <c:valAx>
        <c:axId val="15431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61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r>
              <a:rPr lang="en-US" sz="3200"/>
              <a:t>Category Wise Expenditure </a:t>
            </a:r>
          </a:p>
        </c:rich>
      </c:tx>
      <c:layout>
        <c:manualLayout>
          <c:xMode val="edge"/>
          <c:yMode val="edge"/>
          <c:x val="0.22013892292541545"/>
          <c:y val="6.5193766654569024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671619128657062E-2"/>
          <c:y val="0.14846250511411735"/>
          <c:w val="0.79460558248441338"/>
          <c:h val="0.7246131879289891"/>
        </c:manualLayout>
      </c:layout>
      <c:pie3DChart>
        <c:varyColors val="1"/>
        <c:ser>
          <c:idx val="0"/>
          <c:order val="0"/>
          <c:tx>
            <c:strRef>
              <c:f>Dashboard!$B$1</c:f>
              <c:strCache>
                <c:ptCount val="1"/>
                <c:pt idx="0">
                  <c:v>Actual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C47-4C72-88B5-2B0373F93DF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CC47-4C72-88B5-2B0373F93DF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C47-4C72-88B5-2B0373F93DF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CC47-4C72-88B5-2B0373F93DF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C47-4C72-88B5-2B0373F93DF8}"/>
              </c:ext>
            </c:extLst>
          </c:dPt>
          <c:dLbls>
            <c:dLbl>
              <c:idx val="0"/>
              <c:layout>
                <c:manualLayout>
                  <c:x val="-0.13556298548368118"/>
                  <c:y val="8.26977796645754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47-4C72-88B5-2B0373F93DF8}"/>
                </c:ext>
              </c:extLst>
            </c:dLbl>
            <c:dLbl>
              <c:idx val="1"/>
              <c:layout>
                <c:manualLayout>
                  <c:x val="-9.8328468285564574E-2"/>
                  <c:y val="-0.1776045038112686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C47-4C72-88B5-2B0373F93DF8}"/>
                </c:ext>
              </c:extLst>
            </c:dLbl>
            <c:dLbl>
              <c:idx val="2"/>
              <c:layout>
                <c:manualLayout>
                  <c:x val="9.6956822932640976E-2"/>
                  <c:y val="-0.213865841494959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47-4C72-88B5-2B0373F93DF8}"/>
                </c:ext>
              </c:extLst>
            </c:dLbl>
            <c:dLbl>
              <c:idx val="3"/>
              <c:layout>
                <c:manualLayout>
                  <c:x val="0.10067915292082243"/>
                  <c:y val="9.615734079245846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C47-4C72-88B5-2B0373F93DF8}"/>
                </c:ext>
              </c:extLst>
            </c:dLbl>
            <c:dLbl>
              <c:idx val="4"/>
              <c:layout>
                <c:manualLayout>
                  <c:x val="1.9826454979402077E-2"/>
                  <c:y val="9.319936613178689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47-4C72-88B5-2B0373F93DF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Dashboard!$A$2:$A$6</c:f>
              <c:strCache>
                <c:ptCount val="5"/>
                <c:pt idx="0">
                  <c:v>Food</c:v>
                </c:pt>
                <c:pt idx="1">
                  <c:v>Transport</c:v>
                </c:pt>
                <c:pt idx="2">
                  <c:v>Bills</c:v>
                </c:pt>
                <c:pt idx="3">
                  <c:v>Shopping</c:v>
                </c:pt>
                <c:pt idx="4">
                  <c:v>Others</c:v>
                </c:pt>
              </c:strCache>
            </c:strRef>
          </c:cat>
          <c:val>
            <c:numRef>
              <c:f>Dashboard!$B$2:$B$6</c:f>
              <c:numCache>
                <c:formatCode>General</c:formatCode>
                <c:ptCount val="5"/>
                <c:pt idx="0">
                  <c:v>13700</c:v>
                </c:pt>
                <c:pt idx="1">
                  <c:v>3930</c:v>
                </c:pt>
                <c:pt idx="2">
                  <c:v>12500</c:v>
                </c:pt>
                <c:pt idx="3">
                  <c:v>10000</c:v>
                </c:pt>
                <c:pt idx="4">
                  <c:v>1500</c:v>
                </c:pt>
              </c:numCache>
            </c:numRef>
          </c:val>
          <c:extLst>
            <c:ext xmlns:c16="http://schemas.microsoft.com/office/drawing/2014/chart" uri="{C3380CC4-5D6E-409C-BE32-E72D297353CC}">
              <c16:uniqueId val="{00000000-CC47-4C72-88B5-2B0373F93DF8}"/>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826522687527503"/>
          <c:y val="0.18592851580486838"/>
          <c:w val="0.15734974227963153"/>
          <c:h val="0.6215827814535540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99385</xdr:colOff>
      <xdr:row>9</xdr:row>
      <xdr:rowOff>17640</xdr:rowOff>
    </xdr:from>
    <xdr:to>
      <xdr:col>19</xdr:col>
      <xdr:colOff>246945</xdr:colOff>
      <xdr:row>54</xdr:row>
      <xdr:rowOff>176390</xdr:rowOff>
    </xdr:to>
    <xdr:graphicFrame macro="">
      <xdr:nvGraphicFramePr>
        <xdr:cNvPr id="2" name="Chart 1">
          <a:extLst>
            <a:ext uri="{FF2B5EF4-FFF2-40B4-BE49-F238E27FC236}">
              <a16:creationId xmlns:a16="http://schemas.microsoft.com/office/drawing/2014/main" id="{60E69BE1-F552-492F-B548-F80CFC8ED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264584</xdr:colOff>
      <xdr:row>10</xdr:row>
      <xdr:rowOff>21871</xdr:rowOff>
    </xdr:from>
    <xdr:to>
      <xdr:col>36</xdr:col>
      <xdr:colOff>282221</xdr:colOff>
      <xdr:row>50</xdr:row>
      <xdr:rowOff>52916</xdr:rowOff>
    </xdr:to>
    <xdr:graphicFrame macro="">
      <xdr:nvGraphicFramePr>
        <xdr:cNvPr id="5" name="Chart 4">
          <a:extLst>
            <a:ext uri="{FF2B5EF4-FFF2-40B4-BE49-F238E27FC236}">
              <a16:creationId xmlns:a16="http://schemas.microsoft.com/office/drawing/2014/main" id="{296086B6-92D7-4A2B-9152-867DF215F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285750</xdr:colOff>
      <xdr:row>3</xdr:row>
      <xdr:rowOff>104775</xdr:rowOff>
    </xdr:from>
    <xdr:to>
      <xdr:col>5</xdr:col>
      <xdr:colOff>466725</xdr:colOff>
      <xdr:row>16</xdr:row>
      <xdr:rowOff>152400</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1C89C4E8-B9C2-452E-BAA8-79959D643C3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152650"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7</xdr:row>
      <xdr:rowOff>133350</xdr:rowOff>
    </xdr:from>
    <xdr:to>
      <xdr:col>2</xdr:col>
      <xdr:colOff>228600</xdr:colOff>
      <xdr:row>20</xdr:row>
      <xdr:rowOff>180975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08B58A6-E07F-49A9-A5F6-67E6884306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700" y="1466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puter" refreshedDate="46137.683354976849" createdVersion="6" refreshedVersion="6" minRefreshableVersion="3" recordCount="62" xr:uid="{3955C318-A5F4-4BC6-8892-BCB34CB749DA}">
  <cacheSource type="worksheet">
    <worksheetSource ref="A1:E63" sheet="Transactions"/>
  </cacheSource>
  <cacheFields count="5">
    <cacheField name="Date" numFmtId="0">
      <sharedItems count="30">
        <s v="01-Apr"/>
        <s v="02-Apr"/>
        <s v="03-Apr"/>
        <s v="04-Apr"/>
        <s v="05-Apr"/>
        <s v="06-Apr"/>
        <s v="07-Apr"/>
        <s v="08-Apr"/>
        <s v="09-Apr"/>
        <s v="10-Apr"/>
        <s v="11-Apr"/>
        <s v="12-Apr"/>
        <s v="13-Apr"/>
        <s v="14-Apr"/>
        <s v="15-Apr"/>
        <s v="16-Apr"/>
        <s v="17-Apr"/>
        <s v="18-Apr"/>
        <s v="19-Apr"/>
        <s v="20-Apr"/>
        <s v="21-Apr"/>
        <s v="22-Apr"/>
        <s v="23-Apr"/>
        <s v="24-Apr"/>
        <s v="25-Apr"/>
        <s v="26-Apr"/>
        <s v="27-Apr"/>
        <s v="28-Apr"/>
        <s v="29-Apr"/>
        <s v="30-Apr"/>
      </sharedItems>
    </cacheField>
    <cacheField name="Category" numFmtId="0">
      <sharedItems count="5">
        <s v="Food"/>
        <s v="Transport"/>
        <s v="Bills"/>
        <s v="Shopping"/>
        <s v="Others"/>
      </sharedItems>
    </cacheField>
    <cacheField name="Description" numFmtId="0">
      <sharedItems count="16">
        <s v="Breakfast"/>
        <s v="Bus"/>
        <s v="Lunch"/>
        <s v="Electricity"/>
        <s v="Rickshaw"/>
        <s v="Dinner"/>
        <s v="Clothes"/>
        <s v="Snacks"/>
        <s v="Internet"/>
        <s v="Bike Fuel"/>
        <s v="Mobile Load"/>
        <s v="Shoes"/>
        <s v="Gas"/>
        <s v="Charity"/>
        <s v="Accessories"/>
        <s v="Water"/>
      </sharedItems>
    </cacheField>
    <cacheField name="Amount" numFmtId="0">
      <sharedItems containsSemiMixedTypes="0" containsString="0" containsNumber="1" containsInteger="1" minValue="80" maxValue="3000"/>
    </cacheField>
    <cacheField name="Type" numFmtId="0">
      <sharedItems count="1">
        <s v="Expense"/>
      </sharedItems>
    </cacheField>
  </cacheFields>
  <extLst>
    <ext xmlns:x14="http://schemas.microsoft.com/office/spreadsheetml/2009/9/main" uri="{725AE2AE-9491-48be-B2B4-4EB974FC3084}">
      <x14:pivotCacheDefinition pivotCacheId="694144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x v="0"/>
    <n v="250"/>
    <x v="0"/>
  </r>
  <r>
    <x v="0"/>
    <x v="1"/>
    <x v="1"/>
    <n v="80"/>
    <x v="0"/>
  </r>
  <r>
    <x v="1"/>
    <x v="0"/>
    <x v="2"/>
    <n v="500"/>
    <x v="0"/>
  </r>
  <r>
    <x v="1"/>
    <x v="2"/>
    <x v="3"/>
    <n v="3000"/>
    <x v="0"/>
  </r>
  <r>
    <x v="2"/>
    <x v="1"/>
    <x v="4"/>
    <n v="150"/>
    <x v="0"/>
  </r>
  <r>
    <x v="2"/>
    <x v="0"/>
    <x v="5"/>
    <n v="600"/>
    <x v="0"/>
  </r>
  <r>
    <x v="3"/>
    <x v="3"/>
    <x v="6"/>
    <n v="2000"/>
    <x v="0"/>
  </r>
  <r>
    <x v="3"/>
    <x v="0"/>
    <x v="7"/>
    <n v="200"/>
    <x v="0"/>
  </r>
  <r>
    <x v="4"/>
    <x v="1"/>
    <x v="1"/>
    <n v="80"/>
    <x v="0"/>
  </r>
  <r>
    <x v="4"/>
    <x v="0"/>
    <x v="2"/>
    <n v="450"/>
    <x v="0"/>
  </r>
  <r>
    <x v="5"/>
    <x v="2"/>
    <x v="8"/>
    <n v="2000"/>
    <x v="0"/>
  </r>
  <r>
    <x v="5"/>
    <x v="0"/>
    <x v="5"/>
    <n v="550"/>
    <x v="0"/>
  </r>
  <r>
    <x v="6"/>
    <x v="1"/>
    <x v="9"/>
    <n v="700"/>
    <x v="0"/>
  </r>
  <r>
    <x v="6"/>
    <x v="0"/>
    <x v="0"/>
    <n v="200"/>
    <x v="0"/>
  </r>
  <r>
    <x v="7"/>
    <x v="0"/>
    <x v="2"/>
    <n v="500"/>
    <x v="0"/>
  </r>
  <r>
    <x v="7"/>
    <x v="4"/>
    <x v="10"/>
    <n v="300"/>
    <x v="0"/>
  </r>
  <r>
    <x v="8"/>
    <x v="1"/>
    <x v="1"/>
    <n v="80"/>
    <x v="0"/>
  </r>
  <r>
    <x v="8"/>
    <x v="0"/>
    <x v="5"/>
    <n v="650"/>
    <x v="0"/>
  </r>
  <r>
    <x v="9"/>
    <x v="3"/>
    <x v="11"/>
    <n v="2500"/>
    <x v="0"/>
  </r>
  <r>
    <x v="9"/>
    <x v="0"/>
    <x v="7"/>
    <n v="300"/>
    <x v="0"/>
  </r>
  <r>
    <x v="10"/>
    <x v="0"/>
    <x v="2"/>
    <n v="450"/>
    <x v="0"/>
  </r>
  <r>
    <x v="10"/>
    <x v="1"/>
    <x v="4"/>
    <n v="150"/>
    <x v="0"/>
  </r>
  <r>
    <x v="11"/>
    <x v="2"/>
    <x v="12"/>
    <n v="1500"/>
    <x v="0"/>
  </r>
  <r>
    <x v="11"/>
    <x v="0"/>
    <x v="5"/>
    <n v="600"/>
    <x v="0"/>
  </r>
  <r>
    <x v="12"/>
    <x v="1"/>
    <x v="9"/>
    <n v="600"/>
    <x v="0"/>
  </r>
  <r>
    <x v="12"/>
    <x v="0"/>
    <x v="0"/>
    <n v="200"/>
    <x v="0"/>
  </r>
  <r>
    <x v="13"/>
    <x v="0"/>
    <x v="2"/>
    <n v="500"/>
    <x v="0"/>
  </r>
  <r>
    <x v="13"/>
    <x v="4"/>
    <x v="13"/>
    <n v="500"/>
    <x v="0"/>
  </r>
  <r>
    <x v="14"/>
    <x v="1"/>
    <x v="1"/>
    <n v="80"/>
    <x v="0"/>
  </r>
  <r>
    <x v="14"/>
    <x v="0"/>
    <x v="5"/>
    <n v="700"/>
    <x v="0"/>
  </r>
  <r>
    <x v="15"/>
    <x v="3"/>
    <x v="14"/>
    <n v="1500"/>
    <x v="0"/>
  </r>
  <r>
    <x v="15"/>
    <x v="0"/>
    <x v="7"/>
    <n v="250"/>
    <x v="0"/>
  </r>
  <r>
    <x v="16"/>
    <x v="0"/>
    <x v="2"/>
    <n v="550"/>
    <x v="0"/>
  </r>
  <r>
    <x v="16"/>
    <x v="1"/>
    <x v="4"/>
    <n v="200"/>
    <x v="0"/>
  </r>
  <r>
    <x v="17"/>
    <x v="2"/>
    <x v="15"/>
    <n v="1000"/>
    <x v="0"/>
  </r>
  <r>
    <x v="17"/>
    <x v="0"/>
    <x v="5"/>
    <n v="650"/>
    <x v="0"/>
  </r>
  <r>
    <x v="18"/>
    <x v="1"/>
    <x v="9"/>
    <n v="700"/>
    <x v="0"/>
  </r>
  <r>
    <x v="18"/>
    <x v="0"/>
    <x v="0"/>
    <n v="200"/>
    <x v="0"/>
  </r>
  <r>
    <x v="19"/>
    <x v="0"/>
    <x v="2"/>
    <n v="500"/>
    <x v="0"/>
  </r>
  <r>
    <x v="19"/>
    <x v="4"/>
    <x v="10"/>
    <n v="300"/>
    <x v="0"/>
  </r>
  <r>
    <x v="20"/>
    <x v="1"/>
    <x v="1"/>
    <n v="80"/>
    <x v="0"/>
  </r>
  <r>
    <x v="20"/>
    <x v="0"/>
    <x v="5"/>
    <n v="600"/>
    <x v="0"/>
  </r>
  <r>
    <x v="21"/>
    <x v="3"/>
    <x v="6"/>
    <n v="1800"/>
    <x v="0"/>
  </r>
  <r>
    <x v="21"/>
    <x v="0"/>
    <x v="7"/>
    <n v="300"/>
    <x v="0"/>
  </r>
  <r>
    <x v="22"/>
    <x v="0"/>
    <x v="2"/>
    <n v="450"/>
    <x v="0"/>
  </r>
  <r>
    <x v="22"/>
    <x v="1"/>
    <x v="4"/>
    <n v="150"/>
    <x v="0"/>
  </r>
  <r>
    <x v="23"/>
    <x v="2"/>
    <x v="3"/>
    <n v="3000"/>
    <x v="0"/>
  </r>
  <r>
    <x v="23"/>
    <x v="0"/>
    <x v="5"/>
    <n v="700"/>
    <x v="0"/>
  </r>
  <r>
    <x v="24"/>
    <x v="1"/>
    <x v="9"/>
    <n v="650"/>
    <x v="0"/>
  </r>
  <r>
    <x v="24"/>
    <x v="0"/>
    <x v="0"/>
    <n v="200"/>
    <x v="0"/>
  </r>
  <r>
    <x v="25"/>
    <x v="0"/>
    <x v="2"/>
    <n v="500"/>
    <x v="0"/>
  </r>
  <r>
    <x v="25"/>
    <x v="4"/>
    <x v="13"/>
    <n v="400"/>
    <x v="0"/>
  </r>
  <r>
    <x v="26"/>
    <x v="1"/>
    <x v="1"/>
    <n v="80"/>
    <x v="0"/>
  </r>
  <r>
    <x v="26"/>
    <x v="0"/>
    <x v="5"/>
    <n v="650"/>
    <x v="0"/>
  </r>
  <r>
    <x v="27"/>
    <x v="3"/>
    <x v="11"/>
    <n v="2200"/>
    <x v="0"/>
  </r>
  <r>
    <x v="27"/>
    <x v="0"/>
    <x v="7"/>
    <n v="300"/>
    <x v="0"/>
  </r>
  <r>
    <x v="28"/>
    <x v="0"/>
    <x v="2"/>
    <n v="500"/>
    <x v="0"/>
  </r>
  <r>
    <x v="28"/>
    <x v="1"/>
    <x v="4"/>
    <n v="150"/>
    <x v="0"/>
  </r>
  <r>
    <x v="29"/>
    <x v="2"/>
    <x v="8"/>
    <n v="2000"/>
    <x v="0"/>
  </r>
  <r>
    <x v="29"/>
    <x v="0"/>
    <x v="5"/>
    <n v="700"/>
    <x v="0"/>
  </r>
  <r>
    <x v="29"/>
    <x v="0"/>
    <x v="2"/>
    <n v="700"/>
    <x v="0"/>
  </r>
  <r>
    <x v="29"/>
    <x v="2"/>
    <x v="9"/>
    <n v="2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4A15B-DD0B-4031-BE20-92633FF811F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5">
    <pivotField showAll="0">
      <items count="31">
        <item x="0"/>
        <item x="1"/>
        <item x="2"/>
        <item x="3"/>
        <item x="4"/>
        <item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axis="axisRow" showAll="0">
      <items count="6">
        <item h="1" x="2"/>
        <item x="0"/>
        <item h="1" x="4"/>
        <item h="1" x="3"/>
        <item h="1" x="1"/>
        <item t="default"/>
      </items>
    </pivotField>
    <pivotField showAll="0">
      <items count="17">
        <item x="14"/>
        <item x="9"/>
        <item x="0"/>
        <item x="1"/>
        <item x="13"/>
        <item x="6"/>
        <item x="5"/>
        <item x="3"/>
        <item x="12"/>
        <item x="8"/>
        <item x="2"/>
        <item x="10"/>
        <item x="4"/>
        <item x="11"/>
        <item x="7"/>
        <item x="15"/>
        <item t="default"/>
      </items>
    </pivotField>
    <pivotField dataField="1" showAll="0"/>
    <pivotField showAll="0">
      <items count="2">
        <item x="0"/>
        <item t="default"/>
      </items>
    </pivotField>
  </pivotFields>
  <rowFields count="1">
    <field x="1"/>
  </rowFields>
  <rowItems count="2">
    <i>
      <x v="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57A0E89-48D0-4290-AA0F-62FF926A42CE}" sourceName="Date">
  <pivotTables>
    <pivotTable tabId="7" name="PivotTable2"/>
  </pivotTables>
  <data>
    <tabular pivotCacheId="694144711">
      <items count="30">
        <i x="0" s="1"/>
        <i x="1" s="1"/>
        <i x="2" s="1"/>
        <i x="3" s="1"/>
        <i x="4" s="1"/>
        <i x="5" s="1"/>
        <i x="6" s="1"/>
        <i x="7"/>
        <i x="8"/>
        <i x="9"/>
        <i x="10"/>
        <i x="11"/>
        <i x="12"/>
        <i x="13"/>
        <i x="14"/>
        <i x="15"/>
        <i x="16"/>
        <i x="17"/>
        <i x="18"/>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2AC4AC-E104-4F28-BF44-75750507D9CA}" sourceName="Category">
  <pivotTables>
    <pivotTable tabId="7" name="PivotTable2"/>
  </pivotTables>
  <data>
    <tabular pivotCacheId="694144711">
      <items count="5">
        <i x="2"/>
        <i x="0" s="1"/>
        <i x="3"/>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AC8B008-1AB3-4A04-B48E-4995D102AB98}" cache="Slicer_Date" caption="Date" rowHeight="241300"/>
  <slicer name="Category" xr10:uid="{9B56D9DA-7999-4B57-B9AB-B25D5BBE1B5D}"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0B1E3-AD61-41A8-8995-F0F3BFF05929}" name="Table1" displayName="Table1" ref="A1:F63" totalsRowShown="0">
  <autoFilter ref="A1:F63" xr:uid="{3EF1E82F-2F6A-447B-8DA9-0D12B2A02C0D}"/>
  <tableColumns count="6">
    <tableColumn id="1" xr3:uid="{5C57E9F3-251E-4517-9060-98F7F101D4B5}" name="Date"/>
    <tableColumn id="2" xr3:uid="{B6EB417E-5B03-473E-994A-FEBB14136C9B}" name="Category"/>
    <tableColumn id="3" xr3:uid="{5005D0AD-E690-45C1-B26E-6FF2B7103ACB}" name="Description"/>
    <tableColumn id="4" xr3:uid="{8DD30ACD-8265-414B-93E6-0AA367A57D70}" name="Amount"/>
    <tableColumn id="5" xr3:uid="{28EA48DF-CD4B-4FFD-93E9-977DEF6A4AFD}" name="Type"/>
    <tableColumn id="6" xr3:uid="{B18577D1-0A35-4BD3-B79E-F51DCA0FDDE0}"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
  <sheetViews>
    <sheetView workbookViewId="0">
      <selection activeCell="A63" sqref="A63"/>
    </sheetView>
  </sheetViews>
  <sheetFormatPr defaultRowHeight="15" x14ac:dyDescent="0.25"/>
  <cols>
    <col min="2" max="2" width="11" customWidth="1"/>
    <col min="3" max="3" width="13.28515625" customWidth="1"/>
    <col min="4" max="4" width="10.28515625" customWidth="1"/>
  </cols>
  <sheetData>
    <row r="1" spans="1:6" x14ac:dyDescent="0.25">
      <c r="A1" t="s">
        <v>0</v>
      </c>
      <c r="B1" t="s">
        <v>1</v>
      </c>
      <c r="C1" t="s">
        <v>2</v>
      </c>
      <c r="D1" t="s">
        <v>3</v>
      </c>
      <c r="E1" t="s">
        <v>4</v>
      </c>
      <c r="F1" t="s">
        <v>69</v>
      </c>
    </row>
    <row r="2" spans="1:6" x14ac:dyDescent="0.25">
      <c r="A2" t="s">
        <v>5</v>
      </c>
      <c r="B2" t="s">
        <v>6</v>
      </c>
      <c r="C2" t="s">
        <v>7</v>
      </c>
      <c r="D2">
        <v>250</v>
      </c>
      <c r="E2" t="s">
        <v>8</v>
      </c>
    </row>
    <row r="3" spans="1:6" x14ac:dyDescent="0.25">
      <c r="A3" t="s">
        <v>5</v>
      </c>
      <c r="B3" t="s">
        <v>9</v>
      </c>
      <c r="C3" t="s">
        <v>10</v>
      </c>
      <c r="D3">
        <v>80</v>
      </c>
      <c r="E3" t="s">
        <v>8</v>
      </c>
    </row>
    <row r="4" spans="1:6" x14ac:dyDescent="0.25">
      <c r="A4" t="s">
        <v>11</v>
      </c>
      <c r="B4" t="s">
        <v>6</v>
      </c>
      <c r="C4" t="s">
        <v>12</v>
      </c>
      <c r="D4">
        <v>500</v>
      </c>
      <c r="E4" t="s">
        <v>8</v>
      </c>
    </row>
    <row r="5" spans="1:6" x14ac:dyDescent="0.25">
      <c r="A5" t="s">
        <v>11</v>
      </c>
      <c r="B5" t="s">
        <v>13</v>
      </c>
      <c r="C5" t="s">
        <v>14</v>
      </c>
      <c r="D5">
        <v>3000</v>
      </c>
      <c r="E5" t="s">
        <v>8</v>
      </c>
    </row>
    <row r="6" spans="1:6" x14ac:dyDescent="0.25">
      <c r="A6" t="s">
        <v>15</v>
      </c>
      <c r="B6" t="s">
        <v>9</v>
      </c>
      <c r="C6" t="s">
        <v>16</v>
      </c>
      <c r="D6">
        <v>150</v>
      </c>
      <c r="E6" t="s">
        <v>8</v>
      </c>
    </row>
    <row r="7" spans="1:6" x14ac:dyDescent="0.25">
      <c r="A7" t="s">
        <v>15</v>
      </c>
      <c r="B7" t="s">
        <v>6</v>
      </c>
      <c r="C7" t="s">
        <v>17</v>
      </c>
      <c r="D7">
        <v>600</v>
      </c>
      <c r="E7" t="s">
        <v>8</v>
      </c>
    </row>
    <row r="8" spans="1:6" x14ac:dyDescent="0.25">
      <c r="A8" t="s">
        <v>18</v>
      </c>
      <c r="B8" t="s">
        <v>19</v>
      </c>
      <c r="C8" t="s">
        <v>20</v>
      </c>
      <c r="D8">
        <v>2000</v>
      </c>
      <c r="E8" t="s">
        <v>8</v>
      </c>
    </row>
    <row r="9" spans="1:6" x14ac:dyDescent="0.25">
      <c r="A9" t="s">
        <v>18</v>
      </c>
      <c r="B9" t="s">
        <v>6</v>
      </c>
      <c r="C9" t="s">
        <v>21</v>
      </c>
      <c r="D9">
        <v>200</v>
      </c>
      <c r="E9" t="s">
        <v>8</v>
      </c>
    </row>
    <row r="10" spans="1:6" x14ac:dyDescent="0.25">
      <c r="A10" t="s">
        <v>22</v>
      </c>
      <c r="B10" t="s">
        <v>9</v>
      </c>
      <c r="C10" t="s">
        <v>10</v>
      </c>
      <c r="D10">
        <v>80</v>
      </c>
      <c r="E10" t="s">
        <v>8</v>
      </c>
    </row>
    <row r="11" spans="1:6" x14ac:dyDescent="0.25">
      <c r="A11" t="s">
        <v>22</v>
      </c>
      <c r="B11" t="s">
        <v>6</v>
      </c>
      <c r="C11" t="s">
        <v>12</v>
      </c>
      <c r="D11">
        <v>450</v>
      </c>
      <c r="E11" t="s">
        <v>8</v>
      </c>
    </row>
    <row r="12" spans="1:6" x14ac:dyDescent="0.25">
      <c r="A12" t="s">
        <v>23</v>
      </c>
      <c r="B12" t="s">
        <v>13</v>
      </c>
      <c r="C12" t="s">
        <v>24</v>
      </c>
      <c r="D12">
        <v>2000</v>
      </c>
      <c r="E12" t="s">
        <v>8</v>
      </c>
    </row>
    <row r="13" spans="1:6" x14ac:dyDescent="0.25">
      <c r="A13" t="s">
        <v>23</v>
      </c>
      <c r="B13" t="s">
        <v>6</v>
      </c>
      <c r="C13" t="s">
        <v>17</v>
      </c>
      <c r="D13">
        <v>550</v>
      </c>
      <c r="E13" t="s">
        <v>8</v>
      </c>
    </row>
    <row r="14" spans="1:6" x14ac:dyDescent="0.25">
      <c r="A14" t="s">
        <v>25</v>
      </c>
      <c r="B14" t="s">
        <v>9</v>
      </c>
      <c r="C14" t="s">
        <v>26</v>
      </c>
      <c r="D14">
        <v>700</v>
      </c>
      <c r="E14" t="s">
        <v>8</v>
      </c>
    </row>
    <row r="15" spans="1:6" x14ac:dyDescent="0.25">
      <c r="A15" t="s">
        <v>25</v>
      </c>
      <c r="B15" t="s">
        <v>6</v>
      </c>
      <c r="C15" t="s">
        <v>7</v>
      </c>
      <c r="D15">
        <v>200</v>
      </c>
      <c r="E15" t="s">
        <v>8</v>
      </c>
    </row>
    <row r="16" spans="1:6" x14ac:dyDescent="0.25">
      <c r="A16" t="s">
        <v>27</v>
      </c>
      <c r="B16" t="s">
        <v>6</v>
      </c>
      <c r="C16" t="s">
        <v>12</v>
      </c>
      <c r="D16">
        <v>500</v>
      </c>
      <c r="E16" t="s">
        <v>8</v>
      </c>
    </row>
    <row r="17" spans="1:5" x14ac:dyDescent="0.25">
      <c r="A17" t="s">
        <v>27</v>
      </c>
      <c r="B17" t="s">
        <v>28</v>
      </c>
      <c r="C17" t="s">
        <v>29</v>
      </c>
      <c r="D17">
        <v>300</v>
      </c>
      <c r="E17" t="s">
        <v>8</v>
      </c>
    </row>
    <row r="18" spans="1:5" x14ac:dyDescent="0.25">
      <c r="A18" t="s">
        <v>30</v>
      </c>
      <c r="B18" t="s">
        <v>9</v>
      </c>
      <c r="C18" t="s">
        <v>10</v>
      </c>
      <c r="D18">
        <v>80</v>
      </c>
      <c r="E18" t="s">
        <v>8</v>
      </c>
    </row>
    <row r="19" spans="1:5" x14ac:dyDescent="0.25">
      <c r="A19" t="s">
        <v>30</v>
      </c>
      <c r="B19" t="s">
        <v>6</v>
      </c>
      <c r="C19" t="s">
        <v>17</v>
      </c>
      <c r="D19">
        <v>650</v>
      </c>
      <c r="E19" t="s">
        <v>8</v>
      </c>
    </row>
    <row r="20" spans="1:5" x14ac:dyDescent="0.25">
      <c r="A20" t="s">
        <v>31</v>
      </c>
      <c r="B20" t="s">
        <v>19</v>
      </c>
      <c r="C20" t="s">
        <v>32</v>
      </c>
      <c r="D20">
        <v>2500</v>
      </c>
      <c r="E20" t="s">
        <v>8</v>
      </c>
    </row>
    <row r="21" spans="1:5" x14ac:dyDescent="0.25">
      <c r="A21" t="s">
        <v>31</v>
      </c>
      <c r="B21" t="s">
        <v>6</v>
      </c>
      <c r="C21" t="s">
        <v>21</v>
      </c>
      <c r="D21">
        <v>300</v>
      </c>
      <c r="E21" t="s">
        <v>8</v>
      </c>
    </row>
    <row r="22" spans="1:5" x14ac:dyDescent="0.25">
      <c r="A22" t="s">
        <v>33</v>
      </c>
      <c r="B22" t="s">
        <v>6</v>
      </c>
      <c r="C22" t="s">
        <v>12</v>
      </c>
      <c r="D22">
        <v>450</v>
      </c>
      <c r="E22" t="s">
        <v>8</v>
      </c>
    </row>
    <row r="23" spans="1:5" x14ac:dyDescent="0.25">
      <c r="A23" t="s">
        <v>33</v>
      </c>
      <c r="B23" t="s">
        <v>9</v>
      </c>
      <c r="C23" t="s">
        <v>16</v>
      </c>
      <c r="D23">
        <v>150</v>
      </c>
      <c r="E23" t="s">
        <v>8</v>
      </c>
    </row>
    <row r="24" spans="1:5" x14ac:dyDescent="0.25">
      <c r="A24" t="s">
        <v>34</v>
      </c>
      <c r="B24" t="s">
        <v>13</v>
      </c>
      <c r="C24" t="s">
        <v>35</v>
      </c>
      <c r="D24">
        <v>1500</v>
      </c>
      <c r="E24" t="s">
        <v>8</v>
      </c>
    </row>
    <row r="25" spans="1:5" x14ac:dyDescent="0.25">
      <c r="A25" t="s">
        <v>34</v>
      </c>
      <c r="B25" t="s">
        <v>6</v>
      </c>
      <c r="C25" t="s">
        <v>17</v>
      </c>
      <c r="D25">
        <v>600</v>
      </c>
      <c r="E25" t="s">
        <v>8</v>
      </c>
    </row>
    <row r="26" spans="1:5" x14ac:dyDescent="0.25">
      <c r="A26" t="s">
        <v>36</v>
      </c>
      <c r="B26" t="s">
        <v>9</v>
      </c>
      <c r="C26" t="s">
        <v>26</v>
      </c>
      <c r="D26">
        <v>600</v>
      </c>
      <c r="E26" t="s">
        <v>8</v>
      </c>
    </row>
    <row r="27" spans="1:5" x14ac:dyDescent="0.25">
      <c r="A27" t="s">
        <v>36</v>
      </c>
      <c r="B27" t="s">
        <v>6</v>
      </c>
      <c r="C27" t="s">
        <v>7</v>
      </c>
      <c r="D27">
        <v>200</v>
      </c>
      <c r="E27" t="s">
        <v>8</v>
      </c>
    </row>
    <row r="28" spans="1:5" x14ac:dyDescent="0.25">
      <c r="A28" t="s">
        <v>37</v>
      </c>
      <c r="B28" t="s">
        <v>6</v>
      </c>
      <c r="C28" t="s">
        <v>12</v>
      </c>
      <c r="D28">
        <v>500</v>
      </c>
      <c r="E28" t="s">
        <v>8</v>
      </c>
    </row>
    <row r="29" spans="1:5" x14ac:dyDescent="0.25">
      <c r="A29" t="s">
        <v>37</v>
      </c>
      <c r="B29" t="s">
        <v>28</v>
      </c>
      <c r="C29" t="s">
        <v>38</v>
      </c>
      <c r="D29">
        <v>500</v>
      </c>
      <c r="E29" t="s">
        <v>8</v>
      </c>
    </row>
    <row r="30" spans="1:5" x14ac:dyDescent="0.25">
      <c r="A30" t="s">
        <v>39</v>
      </c>
      <c r="B30" t="s">
        <v>9</v>
      </c>
      <c r="C30" t="s">
        <v>10</v>
      </c>
      <c r="D30">
        <v>80</v>
      </c>
      <c r="E30" t="s">
        <v>8</v>
      </c>
    </row>
    <row r="31" spans="1:5" x14ac:dyDescent="0.25">
      <c r="A31" t="s">
        <v>39</v>
      </c>
      <c r="B31" t="s">
        <v>6</v>
      </c>
      <c r="C31" t="s">
        <v>17</v>
      </c>
      <c r="D31">
        <v>700</v>
      </c>
      <c r="E31" t="s">
        <v>8</v>
      </c>
    </row>
    <row r="32" spans="1:5" x14ac:dyDescent="0.25">
      <c r="A32" t="s">
        <v>40</v>
      </c>
      <c r="B32" t="s">
        <v>19</v>
      </c>
      <c r="C32" t="s">
        <v>41</v>
      </c>
      <c r="D32">
        <v>1500</v>
      </c>
      <c r="E32" t="s">
        <v>8</v>
      </c>
    </row>
    <row r="33" spans="1:5" x14ac:dyDescent="0.25">
      <c r="A33" t="s">
        <v>40</v>
      </c>
      <c r="B33" t="s">
        <v>6</v>
      </c>
      <c r="C33" t="s">
        <v>21</v>
      </c>
      <c r="D33">
        <v>250</v>
      </c>
      <c r="E33" t="s">
        <v>8</v>
      </c>
    </row>
    <row r="34" spans="1:5" x14ac:dyDescent="0.25">
      <c r="A34" t="s">
        <v>42</v>
      </c>
      <c r="B34" t="s">
        <v>6</v>
      </c>
      <c r="C34" t="s">
        <v>12</v>
      </c>
      <c r="D34">
        <v>550</v>
      </c>
      <c r="E34" t="s">
        <v>8</v>
      </c>
    </row>
    <row r="35" spans="1:5" x14ac:dyDescent="0.25">
      <c r="A35" t="s">
        <v>42</v>
      </c>
      <c r="B35" t="s">
        <v>9</v>
      </c>
      <c r="C35" t="s">
        <v>16</v>
      </c>
      <c r="D35">
        <v>200</v>
      </c>
      <c r="E35" t="s">
        <v>8</v>
      </c>
    </row>
    <row r="36" spans="1:5" x14ac:dyDescent="0.25">
      <c r="A36" t="s">
        <v>43</v>
      </c>
      <c r="B36" t="s">
        <v>13</v>
      </c>
      <c r="C36" t="s">
        <v>44</v>
      </c>
      <c r="D36">
        <v>1000</v>
      </c>
      <c r="E36" t="s">
        <v>8</v>
      </c>
    </row>
    <row r="37" spans="1:5" x14ac:dyDescent="0.25">
      <c r="A37" t="s">
        <v>43</v>
      </c>
      <c r="B37" t="s">
        <v>6</v>
      </c>
      <c r="C37" t="s">
        <v>17</v>
      </c>
      <c r="D37">
        <v>650</v>
      </c>
      <c r="E37" t="s">
        <v>8</v>
      </c>
    </row>
    <row r="38" spans="1:5" x14ac:dyDescent="0.25">
      <c r="A38" t="s">
        <v>45</v>
      </c>
      <c r="B38" t="s">
        <v>9</v>
      </c>
      <c r="C38" t="s">
        <v>26</v>
      </c>
      <c r="D38">
        <v>700</v>
      </c>
      <c r="E38" t="s">
        <v>8</v>
      </c>
    </row>
    <row r="39" spans="1:5" x14ac:dyDescent="0.25">
      <c r="A39" t="s">
        <v>45</v>
      </c>
      <c r="B39" t="s">
        <v>6</v>
      </c>
      <c r="C39" t="s">
        <v>7</v>
      </c>
      <c r="D39">
        <v>200</v>
      </c>
      <c r="E39" t="s">
        <v>8</v>
      </c>
    </row>
    <row r="40" spans="1:5" x14ac:dyDescent="0.25">
      <c r="A40" t="s">
        <v>46</v>
      </c>
      <c r="B40" t="s">
        <v>6</v>
      </c>
      <c r="C40" t="s">
        <v>12</v>
      </c>
      <c r="D40">
        <v>500</v>
      </c>
      <c r="E40" t="s">
        <v>8</v>
      </c>
    </row>
    <row r="41" spans="1:5" x14ac:dyDescent="0.25">
      <c r="A41" t="s">
        <v>46</v>
      </c>
      <c r="B41" t="s">
        <v>28</v>
      </c>
      <c r="C41" t="s">
        <v>29</v>
      </c>
      <c r="D41">
        <v>300</v>
      </c>
      <c r="E41" t="s">
        <v>8</v>
      </c>
    </row>
    <row r="42" spans="1:5" x14ac:dyDescent="0.25">
      <c r="A42" t="s">
        <v>47</v>
      </c>
      <c r="B42" t="s">
        <v>9</v>
      </c>
      <c r="C42" t="s">
        <v>10</v>
      </c>
      <c r="D42">
        <v>80</v>
      </c>
      <c r="E42" t="s">
        <v>8</v>
      </c>
    </row>
    <row r="43" spans="1:5" x14ac:dyDescent="0.25">
      <c r="A43" t="s">
        <v>47</v>
      </c>
      <c r="B43" t="s">
        <v>6</v>
      </c>
      <c r="C43" t="s">
        <v>17</v>
      </c>
      <c r="D43">
        <v>600</v>
      </c>
      <c r="E43" t="s">
        <v>8</v>
      </c>
    </row>
    <row r="44" spans="1:5" x14ac:dyDescent="0.25">
      <c r="A44" t="s">
        <v>48</v>
      </c>
      <c r="B44" t="s">
        <v>19</v>
      </c>
      <c r="C44" t="s">
        <v>20</v>
      </c>
      <c r="D44">
        <v>1800</v>
      </c>
      <c r="E44" t="s">
        <v>8</v>
      </c>
    </row>
    <row r="45" spans="1:5" x14ac:dyDescent="0.25">
      <c r="A45" t="s">
        <v>48</v>
      </c>
      <c r="B45" t="s">
        <v>6</v>
      </c>
      <c r="C45" t="s">
        <v>21</v>
      </c>
      <c r="D45">
        <v>300</v>
      </c>
      <c r="E45" t="s">
        <v>8</v>
      </c>
    </row>
    <row r="46" spans="1:5" x14ac:dyDescent="0.25">
      <c r="A46" t="s">
        <v>49</v>
      </c>
      <c r="B46" t="s">
        <v>6</v>
      </c>
      <c r="C46" t="s">
        <v>12</v>
      </c>
      <c r="D46">
        <v>450</v>
      </c>
      <c r="E46" t="s">
        <v>8</v>
      </c>
    </row>
    <row r="47" spans="1:5" x14ac:dyDescent="0.25">
      <c r="A47" t="s">
        <v>49</v>
      </c>
      <c r="B47" t="s">
        <v>9</v>
      </c>
      <c r="C47" t="s">
        <v>16</v>
      </c>
      <c r="D47">
        <v>150</v>
      </c>
      <c r="E47" t="s">
        <v>8</v>
      </c>
    </row>
    <row r="48" spans="1:5" x14ac:dyDescent="0.25">
      <c r="A48" t="s">
        <v>50</v>
      </c>
      <c r="B48" t="s">
        <v>13</v>
      </c>
      <c r="C48" t="s">
        <v>14</v>
      </c>
      <c r="D48">
        <v>3000</v>
      </c>
      <c r="E48" t="s">
        <v>8</v>
      </c>
    </row>
    <row r="49" spans="1:5" x14ac:dyDescent="0.25">
      <c r="A49" t="s">
        <v>50</v>
      </c>
      <c r="B49" t="s">
        <v>6</v>
      </c>
      <c r="C49" t="s">
        <v>17</v>
      </c>
      <c r="D49">
        <v>700</v>
      </c>
      <c r="E49" t="s">
        <v>8</v>
      </c>
    </row>
    <row r="50" spans="1:5" x14ac:dyDescent="0.25">
      <c r="A50" t="s">
        <v>51</v>
      </c>
      <c r="B50" t="s">
        <v>9</v>
      </c>
      <c r="C50" t="s">
        <v>26</v>
      </c>
      <c r="D50">
        <v>650</v>
      </c>
      <c r="E50" t="s">
        <v>8</v>
      </c>
    </row>
    <row r="51" spans="1:5" x14ac:dyDescent="0.25">
      <c r="A51" t="s">
        <v>51</v>
      </c>
      <c r="B51" t="s">
        <v>6</v>
      </c>
      <c r="C51" t="s">
        <v>7</v>
      </c>
      <c r="D51">
        <v>200</v>
      </c>
      <c r="E51" t="s">
        <v>8</v>
      </c>
    </row>
    <row r="52" spans="1:5" x14ac:dyDescent="0.25">
      <c r="A52" t="s">
        <v>52</v>
      </c>
      <c r="B52" t="s">
        <v>6</v>
      </c>
      <c r="C52" t="s">
        <v>12</v>
      </c>
      <c r="D52">
        <v>500</v>
      </c>
      <c r="E52" t="s">
        <v>8</v>
      </c>
    </row>
    <row r="53" spans="1:5" x14ac:dyDescent="0.25">
      <c r="A53" t="s">
        <v>52</v>
      </c>
      <c r="B53" t="s">
        <v>28</v>
      </c>
      <c r="C53" t="s">
        <v>38</v>
      </c>
      <c r="D53">
        <v>400</v>
      </c>
      <c r="E53" t="s">
        <v>8</v>
      </c>
    </row>
    <row r="54" spans="1:5" x14ac:dyDescent="0.25">
      <c r="A54" t="s">
        <v>53</v>
      </c>
      <c r="B54" t="s">
        <v>9</v>
      </c>
      <c r="C54" t="s">
        <v>10</v>
      </c>
      <c r="D54">
        <v>80</v>
      </c>
      <c r="E54" t="s">
        <v>8</v>
      </c>
    </row>
    <row r="55" spans="1:5" x14ac:dyDescent="0.25">
      <c r="A55" t="s">
        <v>53</v>
      </c>
      <c r="B55" t="s">
        <v>6</v>
      </c>
      <c r="C55" t="s">
        <v>17</v>
      </c>
      <c r="D55">
        <v>650</v>
      </c>
      <c r="E55" t="s">
        <v>8</v>
      </c>
    </row>
    <row r="56" spans="1:5" x14ac:dyDescent="0.25">
      <c r="A56" t="s">
        <v>54</v>
      </c>
      <c r="B56" t="s">
        <v>19</v>
      </c>
      <c r="C56" t="s">
        <v>32</v>
      </c>
      <c r="D56">
        <v>2200</v>
      </c>
      <c r="E56" t="s">
        <v>8</v>
      </c>
    </row>
    <row r="57" spans="1:5" x14ac:dyDescent="0.25">
      <c r="A57" t="s">
        <v>54</v>
      </c>
      <c r="B57" t="s">
        <v>6</v>
      </c>
      <c r="C57" t="s">
        <v>21</v>
      </c>
      <c r="D57">
        <v>300</v>
      </c>
      <c r="E57" t="s">
        <v>8</v>
      </c>
    </row>
    <row r="58" spans="1:5" x14ac:dyDescent="0.25">
      <c r="A58" t="s">
        <v>55</v>
      </c>
      <c r="B58" t="s">
        <v>6</v>
      </c>
      <c r="C58" t="s">
        <v>12</v>
      </c>
      <c r="D58">
        <v>500</v>
      </c>
      <c r="E58" t="s">
        <v>8</v>
      </c>
    </row>
    <row r="59" spans="1:5" x14ac:dyDescent="0.25">
      <c r="A59" t="s">
        <v>55</v>
      </c>
      <c r="B59" t="s">
        <v>9</v>
      </c>
      <c r="C59" t="s">
        <v>16</v>
      </c>
      <c r="D59">
        <v>150</v>
      </c>
      <c r="E59" t="s">
        <v>8</v>
      </c>
    </row>
    <row r="60" spans="1:5" x14ac:dyDescent="0.25">
      <c r="A60" t="s">
        <v>56</v>
      </c>
      <c r="B60" t="s">
        <v>13</v>
      </c>
      <c r="C60" t="s">
        <v>24</v>
      </c>
      <c r="D60">
        <v>2000</v>
      </c>
      <c r="E60" t="s">
        <v>8</v>
      </c>
    </row>
    <row r="61" spans="1:5" x14ac:dyDescent="0.25">
      <c r="A61" t="s">
        <v>56</v>
      </c>
      <c r="B61" t="s">
        <v>6</v>
      </c>
      <c r="C61" t="s">
        <v>17</v>
      </c>
      <c r="D61">
        <v>700</v>
      </c>
      <c r="E61" t="s">
        <v>8</v>
      </c>
    </row>
    <row r="64" spans="1:5" ht="15.75" x14ac:dyDescent="0.25">
      <c r="A64" s="4" t="s">
        <v>67</v>
      </c>
    </row>
    <row r="66" spans="1:1" x14ac:dyDescent="0.25">
      <c r="A66" t="s">
        <v>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FFAC-487B-42C0-AF9F-673BF9892D86}">
  <dimension ref="A1:B6"/>
  <sheetViews>
    <sheetView workbookViewId="0">
      <selection activeCell="B5" sqref="B5"/>
    </sheetView>
  </sheetViews>
  <sheetFormatPr defaultRowHeight="15" x14ac:dyDescent="0.25"/>
  <sheetData>
    <row r="1" spans="1:2" x14ac:dyDescent="0.25">
      <c r="A1" t="s">
        <v>1</v>
      </c>
      <c r="B1" t="s">
        <v>70</v>
      </c>
    </row>
    <row r="2" spans="1:2" x14ac:dyDescent="0.25">
      <c r="A2" t="s">
        <v>6</v>
      </c>
      <c r="B2">
        <v>14000</v>
      </c>
    </row>
    <row r="3" spans="1:2" x14ac:dyDescent="0.25">
      <c r="A3" t="s">
        <v>9</v>
      </c>
      <c r="B3">
        <v>5000</v>
      </c>
    </row>
    <row r="4" spans="1:2" x14ac:dyDescent="0.25">
      <c r="A4" t="s">
        <v>13</v>
      </c>
      <c r="B4">
        <v>18000</v>
      </c>
    </row>
    <row r="5" spans="1:2" x14ac:dyDescent="0.25">
      <c r="A5" t="s">
        <v>19</v>
      </c>
      <c r="B5">
        <v>6000</v>
      </c>
    </row>
    <row r="6" spans="1:2" x14ac:dyDescent="0.25">
      <c r="A6" t="s">
        <v>28</v>
      </c>
      <c r="B6">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C7" sqref="A1:C7"/>
    </sheetView>
  </sheetViews>
  <sheetFormatPr defaultRowHeight="15" x14ac:dyDescent="0.25"/>
  <cols>
    <col min="4" max="4" width="13.85546875" customWidth="1"/>
    <col min="5" max="5" width="21.140625" customWidth="1"/>
    <col min="6" max="7" width="13.85546875" customWidth="1"/>
    <col min="8" max="8" width="15.42578125" customWidth="1"/>
  </cols>
  <sheetData>
    <row r="1" spans="1:8" x14ac:dyDescent="0.25">
      <c r="A1" t="s">
        <v>1</v>
      </c>
      <c r="B1" t="s">
        <v>57</v>
      </c>
      <c r="C1" t="s">
        <v>58</v>
      </c>
      <c r="D1" t="s">
        <v>59</v>
      </c>
      <c r="E1" t="s">
        <v>60</v>
      </c>
      <c r="F1" t="s">
        <v>62</v>
      </c>
      <c r="G1" t="s">
        <v>61</v>
      </c>
      <c r="H1" t="s">
        <v>63</v>
      </c>
    </row>
    <row r="2" spans="1:8" x14ac:dyDescent="0.25">
      <c r="A2" t="s">
        <v>6</v>
      </c>
      <c r="B2">
        <v>14000</v>
      </c>
      <c r="C2">
        <f>SUMIF(Transactions!B:B,"Food",Transactions!D:D)</f>
        <v>13700</v>
      </c>
      <c r="D2">
        <f>B2-C2</f>
        <v>300</v>
      </c>
      <c r="E2" t="str">
        <f>IF(D2&lt;0," Over Budget",IF(D2=0," On Budget"," Under Budget"))</f>
        <v xml:space="preserve"> Under Budget</v>
      </c>
      <c r="F2">
        <f>SUM(Budget_vs_Actual!B:B)</f>
        <v>46000</v>
      </c>
      <c r="G2">
        <f>SUM(Budget_vs_Actual!C:C)</f>
        <v>41630</v>
      </c>
      <c r="H2">
        <f>SUM(Budget_vs_Actual!D:D)</f>
        <v>4370</v>
      </c>
    </row>
    <row r="3" spans="1:8" x14ac:dyDescent="0.25">
      <c r="A3" t="s">
        <v>9</v>
      </c>
      <c r="B3">
        <v>5000</v>
      </c>
      <c r="C3">
        <f>SUMIF(Transactions!B:B,A3,Transactions!D:D)</f>
        <v>3930</v>
      </c>
      <c r="D3">
        <f>B3-C3</f>
        <v>1070</v>
      </c>
      <c r="E3" t="str">
        <f>IF(D3&lt;0," Over Budget",IF(D3=0," On Budget","Under Budget"))</f>
        <v>Under Budget</v>
      </c>
    </row>
    <row r="4" spans="1:8" x14ac:dyDescent="0.25">
      <c r="A4" t="s">
        <v>13</v>
      </c>
      <c r="B4">
        <v>18000</v>
      </c>
      <c r="C4">
        <f>SUMIF(Transactions!B:B,A4,Transactions!D:D)</f>
        <v>12500</v>
      </c>
      <c r="D4">
        <f>B4-C4</f>
        <v>5500</v>
      </c>
      <c r="E4" t="str">
        <f>IF(D4&lt;0,"Over Budget",IF(D4=0," On Budget"," Under Budget"))</f>
        <v xml:space="preserve"> Under Budget</v>
      </c>
    </row>
    <row r="5" spans="1:8" x14ac:dyDescent="0.25">
      <c r="A5" t="s">
        <v>19</v>
      </c>
      <c r="B5">
        <v>6000</v>
      </c>
      <c r="C5">
        <f>SUMIF(Transactions!B:B,A5,Transactions!D:D)</f>
        <v>10000</v>
      </c>
      <c r="D5">
        <f>B5-C5</f>
        <v>-4000</v>
      </c>
      <c r="E5" t="str">
        <f>IF(D5&lt;0,"Over Budget","Under Budget")</f>
        <v>Over Budget</v>
      </c>
    </row>
    <row r="6" spans="1:8" x14ac:dyDescent="0.25">
      <c r="A6" t="s">
        <v>28</v>
      </c>
      <c r="B6">
        <v>3000</v>
      </c>
      <c r="C6">
        <f>SUMIF(Transactions!B:B,A6,Transactions!D:D)</f>
        <v>1500</v>
      </c>
      <c r="D6">
        <f>B6-C6</f>
        <v>1500</v>
      </c>
      <c r="E6" t="str">
        <f>IF(D6&lt;0,"Over Budget","Under Budget")</f>
        <v>Under Budget</v>
      </c>
    </row>
  </sheetData>
  <conditionalFormatting sqref="L21">
    <cfRule type="colorScale" priority="2">
      <colorScale>
        <cfvo type="num" val="&quot;&lt; 0&quot;"/>
        <cfvo type="num" val="&quot;≥ 0&quot;"/>
        <color rgb="FFFF0000"/>
        <color rgb="FF00B050"/>
      </colorScale>
    </cfRule>
  </conditionalFormatting>
  <conditionalFormatting sqref="D1:D1048576">
    <cfRule type="colorScale" priority="1">
      <colorScale>
        <cfvo type="num" val="&quot;&lt;0&quot;"/>
        <cfvo type="num" val="&quot;≥ 0&quot;"/>
        <color rgb="FFFF0000"/>
        <color rgb="FF00B050"/>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672B-2B85-4E3C-A3B7-3E3C3B6F7B6C}">
  <dimension ref="A1:C6"/>
  <sheetViews>
    <sheetView tabSelected="1" zoomScale="42" zoomScaleNormal="87" workbookViewId="0">
      <selection activeCell="Y56" sqref="Y56"/>
    </sheetView>
  </sheetViews>
  <sheetFormatPr defaultRowHeight="15" x14ac:dyDescent="0.25"/>
  <sheetData>
    <row r="1" spans="1:3" x14ac:dyDescent="0.25">
      <c r="A1" t="s">
        <v>1</v>
      </c>
      <c r="B1" t="s">
        <v>58</v>
      </c>
      <c r="C1" t="s">
        <v>57</v>
      </c>
    </row>
    <row r="2" spans="1:3" x14ac:dyDescent="0.25">
      <c r="A2" t="s">
        <v>6</v>
      </c>
      <c r="B2">
        <f>SUMIF(Transactions!B:B,"Food",Transactions!D:D)</f>
        <v>13700</v>
      </c>
      <c r="C2">
        <v>14000</v>
      </c>
    </row>
    <row r="3" spans="1:3" x14ac:dyDescent="0.25">
      <c r="A3" t="s">
        <v>9</v>
      </c>
      <c r="B3">
        <f>SUMIF(Transactions!B:B,A3,Transactions!D:D)</f>
        <v>3930</v>
      </c>
      <c r="C3">
        <v>5000</v>
      </c>
    </row>
    <row r="4" spans="1:3" x14ac:dyDescent="0.25">
      <c r="A4" t="s">
        <v>13</v>
      </c>
      <c r="B4">
        <f>SUMIF(Transactions!B:B,A4,Transactions!D:D)</f>
        <v>12500</v>
      </c>
      <c r="C4">
        <v>18000</v>
      </c>
    </row>
    <row r="5" spans="1:3" x14ac:dyDescent="0.25">
      <c r="A5" t="s">
        <v>19</v>
      </c>
      <c r="B5">
        <f>SUMIF(Transactions!B:B,A5,Transactions!D:D)</f>
        <v>10000</v>
      </c>
      <c r="C5">
        <v>6000</v>
      </c>
    </row>
    <row r="6" spans="1:3" x14ac:dyDescent="0.25">
      <c r="A6" t="s">
        <v>28</v>
      </c>
      <c r="B6">
        <f>SUMIF(Transactions!B:B,A6,Transactions!D:D)</f>
        <v>1500</v>
      </c>
      <c r="C6">
        <v>3000</v>
      </c>
    </row>
  </sheetData>
  <pageMargins left="0.7" right="0.7" top="0.75" bottom="0.75" header="0.3" footer="0.3"/>
  <pageSetup scale="9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79D1-F195-4303-BA3B-C1F4D0A7E084}">
  <dimension ref="A3:B5"/>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5" x14ac:dyDescent="0.25"/>
  <cols>
    <col min="1" max="1" width="13.140625" bestFit="1" customWidth="1"/>
    <col min="2" max="2" width="14.85546875" bestFit="1" customWidth="1"/>
    <col min="3" max="3" width="11.28515625" bestFit="1" customWidth="1"/>
    <col min="4" max="4" width="9.28515625" bestFit="1" customWidth="1"/>
    <col min="5" max="5" width="4.140625" bestFit="1" customWidth="1"/>
    <col min="6" max="6" width="7.28515625" bestFit="1" customWidth="1"/>
    <col min="7" max="7" width="7.7109375" bestFit="1" customWidth="1"/>
    <col min="8" max="8" width="7" bestFit="1" customWidth="1"/>
    <col min="9" max="9" width="9.7109375" bestFit="1" customWidth="1"/>
    <col min="10" max="10" width="5" bestFit="1" customWidth="1"/>
    <col min="11" max="11" width="8.28515625" bestFit="1" customWidth="1"/>
    <col min="12" max="12" width="6.140625" bestFit="1" customWidth="1"/>
    <col min="13" max="13" width="12" bestFit="1" customWidth="1"/>
    <col min="15" max="15" width="6.28515625" bestFit="1" customWidth="1"/>
    <col min="16" max="16" width="6.85546875" bestFit="1" customWidth="1"/>
    <col min="17" max="17" width="6.5703125" bestFit="1" customWidth="1"/>
    <col min="18" max="18" width="11.28515625" bestFit="1" customWidth="1"/>
  </cols>
  <sheetData>
    <row r="3" spans="1:2" x14ac:dyDescent="0.25">
      <c r="A3" s="1" t="s">
        <v>64</v>
      </c>
      <c r="B3" t="s">
        <v>66</v>
      </c>
    </row>
    <row r="4" spans="1:2" x14ac:dyDescent="0.25">
      <c r="A4" s="2" t="s">
        <v>6</v>
      </c>
      <c r="B4" s="3">
        <v>2750</v>
      </c>
    </row>
    <row r="5" spans="1:2" x14ac:dyDescent="0.25">
      <c r="A5" s="2" t="s">
        <v>65</v>
      </c>
      <c r="B5" s="3">
        <v>2750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Transactions</vt:lpstr>
      <vt:lpstr>Budget</vt:lpstr>
      <vt:lpstr>Budget_vs_Actual</vt:lpstr>
      <vt:lpstr>Dashboard</vt:lpstr>
      <vt:lpstr>pivot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 Computer</cp:lastModifiedBy>
  <dcterms:created xsi:type="dcterms:W3CDTF">2026-04-24T18:10:43Z</dcterms:created>
  <dcterms:modified xsi:type="dcterms:W3CDTF">2026-04-27T06:37:05Z</dcterms:modified>
</cp:coreProperties>
</file>